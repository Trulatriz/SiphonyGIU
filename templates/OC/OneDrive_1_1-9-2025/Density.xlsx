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aes-my.sharepoint.com/personal/beatriz_martin_gomez_uva_es/Documents/Tesis doctoral/PressTech/Upcycling of plastics/Paper 1/Resultados análisis/"/>
    </mc:Choice>
  </mc:AlternateContent>
  <xr:revisionPtr revIDLastSave="369" documentId="8_{EBA40804-901C-4F68-A6D5-DF0AF809683E}" xr6:coauthVersionLast="47" xr6:coauthVersionMax="47" xr10:uidLastSave="{1B14927B-CED9-41BD-ADB1-4935A2D18948}"/>
  <bookViews>
    <workbookView xWindow="-110" yWindow="-110" windowWidth="19420" windowHeight="10300" activeTab="2" xr2:uid="{422A2EF6-2F08-4E8A-A9DD-D726881C3990}"/>
  </bookViews>
  <sheets>
    <sheet name="LDPE" sheetId="1" r:id="rId1"/>
    <sheet name="HDPE" sheetId="2" r:id="rId2"/>
    <sheet name="PP" sheetId="3" r:id="rId3"/>
    <sheet name="PS" sheetId="4" r:id="rId4"/>
    <sheet name="PET" sheetId="5" r:id="rId5"/>
    <sheet name="AB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2" l="1"/>
  <c r="F8" i="1"/>
  <c r="I8" i="1" s="1"/>
  <c r="J8" i="1" s="1"/>
  <c r="G8" i="1"/>
  <c r="H8" i="1" s="1"/>
  <c r="F10" i="4"/>
  <c r="I10" i="4" s="1"/>
  <c r="J10" i="4" s="1"/>
  <c r="G10" i="4"/>
  <c r="H10" i="4" s="1"/>
  <c r="F11" i="4"/>
  <c r="K11" i="4" s="1"/>
  <c r="G11" i="4"/>
  <c r="H11" i="4" s="1"/>
  <c r="I11" i="4"/>
  <c r="J11" i="4"/>
  <c r="F9" i="4"/>
  <c r="I9" i="4" s="1"/>
  <c r="J9" i="4" s="1"/>
  <c r="F14" i="2"/>
  <c r="G14" i="2"/>
  <c r="H14" i="2" s="1"/>
  <c r="I14" i="2"/>
  <c r="J14" i="2" s="1"/>
  <c r="K14" i="2"/>
  <c r="J12" i="2"/>
  <c r="G7" i="3"/>
  <c r="H7" i="3" s="1"/>
  <c r="F7" i="3"/>
  <c r="I7" i="3" s="1"/>
  <c r="J7" i="3" s="1"/>
  <c r="G9" i="4"/>
  <c r="G5" i="3"/>
  <c r="G6" i="3"/>
  <c r="F7" i="1"/>
  <c r="I7" i="1" s="1"/>
  <c r="J7" i="1" s="1"/>
  <c r="G7" i="1"/>
  <c r="F10" i="2"/>
  <c r="G10" i="2"/>
  <c r="H10" i="2" s="1"/>
  <c r="F11" i="2"/>
  <c r="G11" i="2"/>
  <c r="H11" i="2" s="1"/>
  <c r="F12" i="2"/>
  <c r="G12" i="2"/>
  <c r="H12" i="2" s="1"/>
  <c r="F13" i="2"/>
  <c r="G13" i="2"/>
  <c r="H13" i="2" s="1"/>
  <c r="G6" i="1"/>
  <c r="H6" i="1" s="1"/>
  <c r="F6" i="1"/>
  <c r="I6" i="1" s="1"/>
  <c r="J6" i="1" s="1"/>
  <c r="G5" i="1"/>
  <c r="H5" i="1" s="1"/>
  <c r="F5" i="1"/>
  <c r="K5" i="1" s="1"/>
  <c r="G4" i="1"/>
  <c r="H4" i="1" s="1"/>
  <c r="F4" i="1"/>
  <c r="I4" i="1" s="1"/>
  <c r="J4" i="1" s="1"/>
  <c r="G3" i="1"/>
  <c r="F3" i="1"/>
  <c r="K3" i="1" s="1"/>
  <c r="G9" i="2"/>
  <c r="H9" i="2" s="1"/>
  <c r="F9" i="2"/>
  <c r="G8" i="2"/>
  <c r="H8" i="2" s="1"/>
  <c r="F8" i="2"/>
  <c r="G7" i="2"/>
  <c r="F7" i="2"/>
  <c r="G6" i="2"/>
  <c r="F6" i="2"/>
  <c r="G5" i="2"/>
  <c r="H5" i="2" s="1"/>
  <c r="F5" i="2"/>
  <c r="G4" i="2"/>
  <c r="F4" i="2"/>
  <c r="G3" i="2"/>
  <c r="F3" i="2"/>
  <c r="G4" i="3"/>
  <c r="F4" i="3"/>
  <c r="K4" i="3" s="1"/>
  <c r="G4" i="4"/>
  <c r="H4" i="4" s="1"/>
  <c r="F4" i="4"/>
  <c r="K4" i="4" s="1"/>
  <c r="G3" i="5"/>
  <c r="F3" i="5"/>
  <c r="K3" i="5" s="1"/>
  <c r="G2" i="5"/>
  <c r="F2" i="5"/>
  <c r="I2" i="5" s="1"/>
  <c r="J2" i="5" s="1"/>
  <c r="G2" i="6"/>
  <c r="F2" i="6"/>
  <c r="K2" i="6" s="1"/>
  <c r="G8" i="4"/>
  <c r="H8" i="4" s="1"/>
  <c r="F8" i="4"/>
  <c r="K8" i="4" s="1"/>
  <c r="G7" i="4"/>
  <c r="F7" i="4"/>
  <c r="K7" i="4" s="1"/>
  <c r="G6" i="4"/>
  <c r="F6" i="4"/>
  <c r="I6" i="4" s="1"/>
  <c r="J6" i="4" s="1"/>
  <c r="G5" i="4"/>
  <c r="F5" i="4"/>
  <c r="K5" i="4" s="1"/>
  <c r="G3" i="4"/>
  <c r="F3" i="4"/>
  <c r="K3" i="4" s="1"/>
  <c r="G2" i="4"/>
  <c r="F2" i="4"/>
  <c r="K2" i="4" s="1"/>
  <c r="F6" i="3"/>
  <c r="I6" i="3" s="1"/>
  <c r="J6" i="3" s="1"/>
  <c r="F5" i="3"/>
  <c r="I5" i="3" s="1"/>
  <c r="J5" i="3" s="1"/>
  <c r="G3" i="3"/>
  <c r="F3" i="3"/>
  <c r="I3" i="3" s="1"/>
  <c r="J3" i="3" s="1"/>
  <c r="G2" i="3"/>
  <c r="F2" i="3"/>
  <c r="K2" i="3" s="1"/>
  <c r="G2" i="1"/>
  <c r="F2" i="1"/>
  <c r="I2" i="1" s="1"/>
  <c r="J2" i="1" s="1"/>
  <c r="M2" i="1"/>
  <c r="M2" i="3"/>
  <c r="M2" i="4"/>
  <c r="M2" i="6"/>
  <c r="S2" i="2"/>
  <c r="M2" i="5"/>
  <c r="G2" i="2"/>
  <c r="M2" i="2"/>
  <c r="F2" i="2"/>
  <c r="K8" i="1" l="1"/>
  <c r="K10" i="4"/>
  <c r="H6" i="4"/>
  <c r="K9" i="4"/>
  <c r="H7" i="4"/>
  <c r="H9" i="4"/>
  <c r="H5" i="3"/>
  <c r="K4" i="2"/>
  <c r="K12" i="2"/>
  <c r="I5" i="2"/>
  <c r="J5" i="2" s="1"/>
  <c r="I11" i="2"/>
  <c r="J11" i="2" s="1"/>
  <c r="I10" i="2"/>
  <c r="J10" i="2" s="1"/>
  <c r="H2" i="2"/>
  <c r="I13" i="2"/>
  <c r="J13" i="2" s="1"/>
  <c r="K3" i="2"/>
  <c r="I12" i="2"/>
  <c r="K6" i="1"/>
  <c r="H3" i="1"/>
  <c r="K7" i="3"/>
  <c r="K5" i="3"/>
  <c r="H6" i="3"/>
  <c r="K6" i="3"/>
  <c r="H7" i="1"/>
  <c r="K7" i="1"/>
  <c r="K10" i="2"/>
  <c r="K13" i="2"/>
  <c r="K11" i="2"/>
  <c r="H4" i="3"/>
  <c r="I3" i="1"/>
  <c r="J3" i="1" s="1"/>
  <c r="K4" i="1"/>
  <c r="I5" i="1"/>
  <c r="J5" i="1" s="1"/>
  <c r="K5" i="2"/>
  <c r="K6" i="2"/>
  <c r="K7" i="2"/>
  <c r="K9" i="2"/>
  <c r="H3" i="2"/>
  <c r="H4" i="2"/>
  <c r="H6" i="2"/>
  <c r="H7" i="2"/>
  <c r="K8" i="2"/>
  <c r="I6" i="2"/>
  <c r="J6" i="2" s="1"/>
  <c r="I7" i="2"/>
  <c r="J7" i="2" s="1"/>
  <c r="I3" i="2"/>
  <c r="J3" i="2" s="1"/>
  <c r="I8" i="2"/>
  <c r="J8" i="2" s="1"/>
  <c r="I4" i="2"/>
  <c r="J4" i="2" s="1"/>
  <c r="I9" i="2"/>
  <c r="J9" i="2" s="1"/>
  <c r="I4" i="3"/>
  <c r="J4" i="3" s="1"/>
  <c r="I4" i="4"/>
  <c r="J4" i="4" s="1"/>
  <c r="H5" i="4"/>
  <c r="K6" i="4"/>
  <c r="H2" i="4"/>
  <c r="H3" i="4"/>
  <c r="H2" i="6"/>
  <c r="H2" i="5"/>
  <c r="H3" i="5"/>
  <c r="K2" i="5"/>
  <c r="I3" i="5"/>
  <c r="J3" i="5" s="1"/>
  <c r="I2" i="6"/>
  <c r="J2" i="6" s="1"/>
  <c r="I7" i="4"/>
  <c r="J7" i="4" s="1"/>
  <c r="I2" i="4"/>
  <c r="J2" i="4" s="1"/>
  <c r="I8" i="4"/>
  <c r="J8" i="4" s="1"/>
  <c r="I3" i="4"/>
  <c r="J3" i="4" s="1"/>
  <c r="I5" i="4"/>
  <c r="J5" i="4" s="1"/>
  <c r="H2" i="3"/>
  <c r="H3" i="3"/>
  <c r="I2" i="3"/>
  <c r="J2" i="3" s="1"/>
  <c r="K3" i="3"/>
  <c r="H2" i="1"/>
  <c r="K2" i="1"/>
  <c r="I2" i="2"/>
  <c r="J2" i="2" s="1"/>
  <c r="K2" i="2"/>
</calcChain>
</file>

<file path=xl/sharedStrings.xml><?xml version="1.0" encoding="utf-8"?>
<sst xmlns="http://schemas.openxmlformats.org/spreadsheetml/2006/main" count="151" uniqueCount="36">
  <si>
    <t>Label</t>
  </si>
  <si>
    <t>LDPE</t>
  </si>
  <si>
    <t>20250217-2</t>
  </si>
  <si>
    <t>20250227-2</t>
  </si>
  <si>
    <t>HDPE</t>
  </si>
  <si>
    <t>PP</t>
  </si>
  <si>
    <t>20250211-2</t>
  </si>
  <si>
    <t>20250307-2</t>
  </si>
  <si>
    <t>Measure 1</t>
  </si>
  <si>
    <t>Measure 2</t>
  </si>
  <si>
    <t>Measure 3</t>
  </si>
  <si>
    <t>20250213-2</t>
  </si>
  <si>
    <t>PS</t>
  </si>
  <si>
    <t>20250220-2</t>
  </si>
  <si>
    <t>20250310-2</t>
  </si>
  <si>
    <t>20250205-2</t>
  </si>
  <si>
    <t>PET</t>
  </si>
  <si>
    <t>20250214-2</t>
  </si>
  <si>
    <t>Exp ρ solid</t>
  </si>
  <si>
    <r>
      <t>ρ</t>
    </r>
    <r>
      <rPr>
        <b/>
        <vertAlign val="subscript"/>
        <sz val="11"/>
        <color theme="1"/>
        <rFont val="Aptos Narrow"/>
        <family val="2"/>
        <scheme val="minor"/>
      </rPr>
      <t>r</t>
    </r>
  </si>
  <si>
    <t>X</t>
  </si>
  <si>
    <t>HDPE Acteco</t>
  </si>
  <si>
    <t>20250219-2</t>
  </si>
  <si>
    <t>20250312-2</t>
  </si>
  <si>
    <t>Polymer</t>
  </si>
  <si>
    <r>
      <t>Av Exp ρ foam (g/cm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</si>
  <si>
    <r>
      <t>Desvest Exp ρ foam  (g/cm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</si>
  <si>
    <r>
      <t>%DER Exp ρ foam (g/cm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</si>
  <si>
    <t>Porosity (%)</t>
  </si>
  <si>
    <t>20250310-3</t>
  </si>
  <si>
    <t xml:space="preserve"> </t>
  </si>
  <si>
    <t>20250407-2</t>
  </si>
  <si>
    <t>20250324-2</t>
  </si>
  <si>
    <t>20250325-2</t>
  </si>
  <si>
    <t>20250409-3</t>
  </si>
  <si>
    <t>20250409-2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</si>
</sst>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4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A28A-C41A-4D57-BBBE-478A9DD1EA6A}">
  <dimension ref="A1:P8"/>
  <sheetViews>
    <sheetView workbookViewId="0">
      <selection activeCell="E17" sqref="E17"/>
    </sheetView>
  </sheetViews>
  <sheetFormatPr baseColWidth="10" defaultRowHeight="14.5" x14ac:dyDescent="0.35"/>
  <cols>
    <col min="7" max="7" width="17.08984375" customWidth="1"/>
    <col min="8" max="8" width="21.453125" customWidth="1"/>
  </cols>
  <sheetData>
    <row r="1" spans="1:16" ht="17" thickBot="1" x14ac:dyDescent="0.4">
      <c r="A1" s="1" t="s">
        <v>24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25</v>
      </c>
      <c r="G1" s="1" t="s">
        <v>26</v>
      </c>
      <c r="H1" s="1" t="s">
        <v>27</v>
      </c>
      <c r="I1" s="1" t="s">
        <v>19</v>
      </c>
      <c r="J1" s="12" t="s">
        <v>20</v>
      </c>
      <c r="K1" s="1" t="s">
        <v>28</v>
      </c>
      <c r="M1" s="1" t="s">
        <v>18</v>
      </c>
      <c r="N1" s="1" t="s">
        <v>8</v>
      </c>
      <c r="O1" s="1" t="s">
        <v>9</v>
      </c>
      <c r="P1" s="1" t="s">
        <v>10</v>
      </c>
    </row>
    <row r="2" spans="1:16" ht="15" thickBot="1" x14ac:dyDescent="0.4">
      <c r="A2" s="3" t="s">
        <v>1</v>
      </c>
      <c r="B2" s="2">
        <v>20250204</v>
      </c>
      <c r="C2" s="6">
        <v>0.48</v>
      </c>
      <c r="D2" s="6">
        <v>0.61499999999999999</v>
      </c>
      <c r="E2" s="6">
        <v>0.27400000000000002</v>
      </c>
      <c r="F2" s="6">
        <f>AVERAGE(C2:E2)</f>
        <v>0.45633333333333331</v>
      </c>
      <c r="G2" s="6">
        <f>_xlfn.STDEV.S(C2:E2)</f>
        <v>0.17172749731284545</v>
      </c>
      <c r="H2" s="6">
        <f>(G2/F2)*100</f>
        <v>37.632030090470153</v>
      </c>
      <c r="I2" s="6">
        <f>F2/$N$2</f>
        <v>0.49709513435003627</v>
      </c>
      <c r="J2" s="6">
        <f>1/I2</f>
        <v>2.0116873630387144</v>
      </c>
      <c r="K2" s="6">
        <f>(1-F2/$N$2)*100</f>
        <v>50.290486564996371</v>
      </c>
      <c r="L2" s="7"/>
      <c r="M2">
        <f>AVERAGE(N2:P2)</f>
        <v>0.91966666666666674</v>
      </c>
      <c r="N2">
        <v>0.91800000000000004</v>
      </c>
      <c r="O2">
        <v>0.91900000000000004</v>
      </c>
      <c r="P2">
        <v>0.92200000000000004</v>
      </c>
    </row>
    <row r="3" spans="1:16" ht="15" thickBot="1" x14ac:dyDescent="0.4">
      <c r="A3" s="5" t="s">
        <v>1</v>
      </c>
      <c r="B3" s="4">
        <v>20250219</v>
      </c>
      <c r="C3" s="15">
        <v>0.81399999999999995</v>
      </c>
      <c r="D3" s="16">
        <v>0.85599999999999998</v>
      </c>
      <c r="E3" s="5">
        <v>0.89800000000000002</v>
      </c>
      <c r="F3" s="6">
        <f t="shared" ref="F3:F6" si="0">AVERAGE(C3:E3)</f>
        <v>0.85599999999999998</v>
      </c>
      <c r="G3" s="6">
        <f t="shared" ref="G3:G6" si="1">_xlfn.STDEV.S(C3:E3)</f>
        <v>4.2000000000000037E-2</v>
      </c>
      <c r="H3" s="6">
        <f t="shared" ref="H3:H6" si="2">(G3/F3)*100</f>
        <v>4.9065420560747715</v>
      </c>
      <c r="I3" s="6">
        <f t="shared" ref="I3:I6" si="3">F3/$N$2</f>
        <v>0.93246187363834421</v>
      </c>
      <c r="J3" s="6">
        <f t="shared" ref="J3:J6" si="4">1/I3</f>
        <v>1.0724299065420562</v>
      </c>
      <c r="K3" s="6">
        <f t="shared" ref="K3:K6" si="5">(1-F3/$N$2)*100</f>
        <v>6.7538126361655788</v>
      </c>
      <c r="L3" s="7"/>
    </row>
    <row r="4" spans="1:16" ht="15" thickBot="1" x14ac:dyDescent="0.4">
      <c r="A4" s="5" t="s">
        <v>1</v>
      </c>
      <c r="B4" s="4">
        <v>20250211</v>
      </c>
      <c r="C4" s="6">
        <v>0.155</v>
      </c>
      <c r="D4" s="6">
        <v>9.5000000000000001E-2</v>
      </c>
      <c r="E4" s="6">
        <v>8.8999999999999996E-2</v>
      </c>
      <c r="F4" s="6">
        <f t="shared" si="0"/>
        <v>0.11299999999999999</v>
      </c>
      <c r="G4" s="6">
        <f t="shared" si="1"/>
        <v>3.6496575181789365E-2</v>
      </c>
      <c r="H4" s="6">
        <f t="shared" si="2"/>
        <v>32.29785414317643</v>
      </c>
      <c r="I4" s="6">
        <f t="shared" si="3"/>
        <v>0.12309368191721132</v>
      </c>
      <c r="J4" s="6">
        <f t="shared" si="4"/>
        <v>8.123893805309736</v>
      </c>
      <c r="K4" s="6">
        <f t="shared" si="5"/>
        <v>87.69063180827888</v>
      </c>
      <c r="L4" s="7"/>
    </row>
    <row r="5" spans="1:16" ht="15" thickBot="1" x14ac:dyDescent="0.4">
      <c r="A5" s="5" t="s">
        <v>1</v>
      </c>
      <c r="B5" s="4" t="s">
        <v>2</v>
      </c>
      <c r="C5" s="6">
        <v>6.4000000000000001E-2</v>
      </c>
      <c r="D5" s="6">
        <v>4.3999999999999997E-2</v>
      </c>
      <c r="E5" s="6">
        <v>0.20300000000000001</v>
      </c>
      <c r="F5" s="6">
        <f t="shared" si="0"/>
        <v>0.10366666666666667</v>
      </c>
      <c r="G5" s="6">
        <f t="shared" si="1"/>
        <v>8.6604464857958308E-2</v>
      </c>
      <c r="H5" s="6">
        <f t="shared" si="2"/>
        <v>83.541284428898692</v>
      </c>
      <c r="I5" s="6">
        <f t="shared" si="3"/>
        <v>0.11292665214233842</v>
      </c>
      <c r="J5" s="6">
        <f t="shared" si="4"/>
        <v>8.855305466237942</v>
      </c>
      <c r="K5" s="6">
        <f t="shared" si="5"/>
        <v>88.70733478576615</v>
      </c>
      <c r="L5" s="7"/>
    </row>
    <row r="6" spans="1:16" ht="15" thickBot="1" x14ac:dyDescent="0.4">
      <c r="A6" s="4" t="s">
        <v>1</v>
      </c>
      <c r="B6" s="4" t="s">
        <v>3</v>
      </c>
      <c r="C6" s="6">
        <v>0.22500000000000001</v>
      </c>
      <c r="D6" s="6">
        <v>0.32300000000000001</v>
      </c>
      <c r="E6" s="6">
        <v>0.39400000000000002</v>
      </c>
      <c r="F6" s="6">
        <f t="shared" si="0"/>
        <v>0.314</v>
      </c>
      <c r="G6" s="6">
        <f t="shared" si="1"/>
        <v>8.4858706094307054E-2</v>
      </c>
      <c r="H6" s="6">
        <f t="shared" si="2"/>
        <v>27.025065635129636</v>
      </c>
      <c r="I6" s="6">
        <f t="shared" si="3"/>
        <v>0.34204793028322439</v>
      </c>
      <c r="J6" s="6">
        <f t="shared" si="4"/>
        <v>2.9235668789808917</v>
      </c>
      <c r="K6" s="6">
        <f t="shared" si="5"/>
        <v>65.795206971677558</v>
      </c>
      <c r="L6" s="7"/>
    </row>
    <row r="7" spans="1:16" ht="15" thickBot="1" x14ac:dyDescent="0.4">
      <c r="A7" s="5" t="s">
        <v>1</v>
      </c>
      <c r="B7" s="5" t="s">
        <v>32</v>
      </c>
      <c r="C7" s="5">
        <v>1.9E-2</v>
      </c>
      <c r="D7" s="5">
        <v>0.122</v>
      </c>
      <c r="E7" s="5">
        <v>4.7E-2</v>
      </c>
      <c r="F7" s="6">
        <f t="shared" ref="F7" si="6">AVERAGE(C7:E7)</f>
        <v>6.2666666666666662E-2</v>
      </c>
      <c r="G7" s="6">
        <f t="shared" ref="G7" si="7">_xlfn.STDEV.S(C7:E7)</f>
        <v>5.3257237379846639E-2</v>
      </c>
      <c r="H7" s="6">
        <f t="shared" ref="H7" si="8">(G7/F7)*100</f>
        <v>84.984953265712733</v>
      </c>
      <c r="I7" s="6">
        <f t="shared" ref="I7" si="9">F7/$N$2</f>
        <v>6.8264342774146683E-2</v>
      </c>
      <c r="J7" s="6">
        <f t="shared" ref="J7" si="10">1/I7</f>
        <v>14.648936170212769</v>
      </c>
      <c r="K7" s="6">
        <f t="shared" ref="K7" si="11">(1-F7/$N$2)*100</f>
        <v>93.173565722585323</v>
      </c>
    </row>
    <row r="8" spans="1:16" ht="15" thickBot="1" x14ac:dyDescent="0.4">
      <c r="A8" s="5" t="s">
        <v>1</v>
      </c>
      <c r="B8" s="5" t="s">
        <v>35</v>
      </c>
      <c r="C8" s="5">
        <v>4.3999999999999997E-2</v>
      </c>
      <c r="D8" s="5">
        <v>4.3999999999999997E-2</v>
      </c>
      <c r="E8" s="5">
        <v>8.3000000000000004E-2</v>
      </c>
      <c r="F8" s="6">
        <f t="shared" ref="F8" si="12">AVERAGE(C8:E8)</f>
        <v>5.6999999999999995E-2</v>
      </c>
      <c r="G8" s="6">
        <f t="shared" ref="G8" si="13">_xlfn.STDEV.S(C8:E8)</f>
        <v>2.2516660498395416E-2</v>
      </c>
      <c r="H8" s="6">
        <f t="shared" ref="H8" si="14">(G8/F8)*100</f>
        <v>39.502913155079682</v>
      </c>
      <c r="I8" s="6">
        <f t="shared" ref="I8" si="15">F8/$N$2</f>
        <v>6.2091503267973851E-2</v>
      </c>
      <c r="J8" s="6">
        <f t="shared" ref="J8" si="16">1/I8</f>
        <v>16.10526315789474</v>
      </c>
      <c r="K8" s="6">
        <f t="shared" ref="K8" si="17">(1-F8/$N$2)*100</f>
        <v>93.790849673202615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1AE9-F0ED-422C-AA27-C2EE23FE6E96}">
  <dimension ref="A1:V30"/>
  <sheetViews>
    <sheetView zoomScale="85" zoomScaleNormal="85" workbookViewId="0">
      <selection activeCell="F1" sqref="F1"/>
    </sheetView>
  </sheetViews>
  <sheetFormatPr baseColWidth="10" defaultRowHeight="14.5" x14ac:dyDescent="0.35"/>
  <cols>
    <col min="1" max="1" width="14.90625" customWidth="1"/>
    <col min="2" max="2" width="14.08984375" customWidth="1"/>
    <col min="6" max="6" width="28.7265625" customWidth="1"/>
    <col min="7" max="8" width="26.36328125" customWidth="1"/>
  </cols>
  <sheetData>
    <row r="1" spans="1:22" ht="17" thickBot="1" x14ac:dyDescent="0.4">
      <c r="A1" s="1" t="s">
        <v>24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25</v>
      </c>
      <c r="G1" s="1" t="s">
        <v>26</v>
      </c>
      <c r="H1" s="1" t="s">
        <v>27</v>
      </c>
      <c r="I1" s="1" t="s">
        <v>19</v>
      </c>
      <c r="J1" s="12" t="s">
        <v>20</v>
      </c>
      <c r="K1" s="1" t="s">
        <v>28</v>
      </c>
      <c r="M1" s="1" t="s">
        <v>18</v>
      </c>
      <c r="N1" s="1" t="s">
        <v>8</v>
      </c>
      <c r="O1" s="1" t="s">
        <v>9</v>
      </c>
      <c r="P1" s="1" t="s">
        <v>10</v>
      </c>
      <c r="R1" s="13" t="s">
        <v>21</v>
      </c>
      <c r="S1" s="1" t="s">
        <v>18</v>
      </c>
      <c r="T1" s="1" t="s">
        <v>8</v>
      </c>
      <c r="U1" s="1" t="s">
        <v>9</v>
      </c>
      <c r="V1" s="1" t="s">
        <v>10</v>
      </c>
    </row>
    <row r="2" spans="1:22" ht="15" thickBot="1" x14ac:dyDescent="0.4">
      <c r="A2" s="5" t="s">
        <v>4</v>
      </c>
      <c r="B2" s="6">
        <v>20250206</v>
      </c>
      <c r="C2" s="6">
        <v>0.14199999999999999</v>
      </c>
      <c r="D2" s="6">
        <v>0.126</v>
      </c>
      <c r="E2" s="6">
        <v>0.216</v>
      </c>
      <c r="F2" s="19">
        <f>AVERAGE(C2:E2)</f>
        <v>0.16133333333333333</v>
      </c>
      <c r="G2" s="6">
        <f>_xlfn.STDEV.S(C2:E2)</f>
        <v>4.8013886880082235E-2</v>
      </c>
      <c r="H2" s="6">
        <f>(G2/F2)*100</f>
        <v>29.760673686001386</v>
      </c>
      <c r="I2" s="6">
        <f>F2/$M$2</f>
        <v>0.17163120567375886</v>
      </c>
      <c r="J2" s="6">
        <f>1/I2</f>
        <v>5.8264462809917354</v>
      </c>
      <c r="K2" s="6">
        <f>(1-F2/$M$2)*100</f>
        <v>82.836879432624116</v>
      </c>
      <c r="M2">
        <f>AVERAGE(N2:P2)</f>
        <v>0.94</v>
      </c>
      <c r="N2">
        <v>0.94099999999999995</v>
      </c>
      <c r="O2">
        <v>0.93899999999999995</v>
      </c>
      <c r="P2">
        <v>0.94</v>
      </c>
      <c r="S2">
        <f>AVERAGE(T2:V2)</f>
        <v>0.92200000000000004</v>
      </c>
      <c r="T2">
        <v>0.91900000000000004</v>
      </c>
      <c r="U2">
        <v>0.93</v>
      </c>
      <c r="V2">
        <v>0.91700000000000004</v>
      </c>
    </row>
    <row r="3" spans="1:22" ht="15" thickBot="1" x14ac:dyDescent="0.4">
      <c r="A3" s="8" t="s">
        <v>4</v>
      </c>
      <c r="B3" s="8" t="s">
        <v>23</v>
      </c>
      <c r="C3" s="6">
        <v>0.16600000000000001</v>
      </c>
      <c r="D3" s="6">
        <v>0.159</v>
      </c>
      <c r="E3" s="6">
        <v>0.77200000000000002</v>
      </c>
      <c r="F3" s="19">
        <f t="shared" ref="F3:F9" si="0">AVERAGE(C3:E3)</f>
        <v>0.36566666666666664</v>
      </c>
      <c r="G3" s="6">
        <f t="shared" ref="G3:G9" si="1">_xlfn.STDEV.S(C3:E3)</f>
        <v>0.35191239440140976</v>
      </c>
      <c r="H3" s="6">
        <f t="shared" ref="H3:H9" si="2">(G3/F3)*100</f>
        <v>96.238576408772047</v>
      </c>
      <c r="I3" s="6">
        <f t="shared" ref="I3:I9" si="3">F3/$M$2</f>
        <v>0.38900709219858154</v>
      </c>
      <c r="J3" s="6">
        <f t="shared" ref="J3:J9" si="4">1/I3</f>
        <v>2.570647219690064</v>
      </c>
      <c r="K3" s="6">
        <f t="shared" ref="K3:K9" si="5">(1-F3/$M$2)*100</f>
        <v>61.099290780141843</v>
      </c>
    </row>
    <row r="4" spans="1:22" ht="15" thickBot="1" x14ac:dyDescent="0.4">
      <c r="A4" s="6" t="s">
        <v>4</v>
      </c>
      <c r="B4" s="7">
        <v>20250213</v>
      </c>
      <c r="C4" s="6">
        <v>1.7000000000000001E-2</v>
      </c>
      <c r="D4" s="6">
        <v>0.02</v>
      </c>
      <c r="E4" s="6">
        <v>1.9E-2</v>
      </c>
      <c r="F4" s="19">
        <f t="shared" si="0"/>
        <v>1.8666666666666668E-2</v>
      </c>
      <c r="G4" s="6">
        <f t="shared" si="1"/>
        <v>1.527525231651946E-3</v>
      </c>
      <c r="H4" s="6">
        <f t="shared" si="2"/>
        <v>8.1831708838497086</v>
      </c>
      <c r="I4" s="6">
        <f t="shared" si="3"/>
        <v>1.9858156028368799E-2</v>
      </c>
      <c r="J4" s="6">
        <f t="shared" si="4"/>
        <v>50.357142857142847</v>
      </c>
      <c r="K4" s="6">
        <f t="shared" si="5"/>
        <v>98.01418439716312</v>
      </c>
    </row>
    <row r="5" spans="1:22" ht="15" thickBot="1" x14ac:dyDescent="0.4">
      <c r="A5" s="5" t="s">
        <v>4</v>
      </c>
      <c r="B5" s="6" t="s">
        <v>22</v>
      </c>
      <c r="C5" s="6">
        <v>0.158</v>
      </c>
      <c r="D5" s="6">
        <v>0.123</v>
      </c>
      <c r="E5" s="6">
        <v>0.157</v>
      </c>
      <c r="F5" s="19">
        <f t="shared" si="0"/>
        <v>0.14600000000000002</v>
      </c>
      <c r="G5" s="6">
        <f t="shared" si="1"/>
        <v>1.9924858845171138E-2</v>
      </c>
      <c r="H5" s="6">
        <f t="shared" si="2"/>
        <v>13.64716359258297</v>
      </c>
      <c r="I5" s="6">
        <f t="shared" si="3"/>
        <v>0.15531914893617024</v>
      </c>
      <c r="J5" s="6">
        <f t="shared" si="4"/>
        <v>6.4383561643835607</v>
      </c>
      <c r="K5" s="6">
        <f t="shared" si="5"/>
        <v>84.468085106382972</v>
      </c>
    </row>
    <row r="6" spans="1:22" ht="15" thickBot="1" x14ac:dyDescent="0.4">
      <c r="A6" s="6" t="s">
        <v>4</v>
      </c>
      <c r="B6" s="6">
        <v>20250218</v>
      </c>
      <c r="C6" s="6">
        <v>0.02</v>
      </c>
      <c r="D6" s="6">
        <v>1.4999999999999999E-2</v>
      </c>
      <c r="E6" s="6">
        <v>1.7999999999999999E-2</v>
      </c>
      <c r="F6" s="19">
        <f t="shared" si="0"/>
        <v>1.7666666666666667E-2</v>
      </c>
      <c r="G6" s="6">
        <f t="shared" si="1"/>
        <v>2.5166114784235835E-3</v>
      </c>
      <c r="H6" s="6">
        <f t="shared" si="2"/>
        <v>14.244970632586321</v>
      </c>
      <c r="I6" s="6">
        <f t="shared" si="3"/>
        <v>1.8794326241134755E-2</v>
      </c>
      <c r="J6" s="6">
        <f t="shared" si="4"/>
        <v>53.207547169811313</v>
      </c>
      <c r="K6" s="6">
        <f t="shared" si="5"/>
        <v>98.120567375886523</v>
      </c>
    </row>
    <row r="7" spans="1:22" ht="15" thickBot="1" x14ac:dyDescent="0.4">
      <c r="A7" s="5" t="s">
        <v>4</v>
      </c>
      <c r="B7" s="8">
        <v>20250221</v>
      </c>
      <c r="C7" s="6">
        <v>2.5000000000000001E-2</v>
      </c>
      <c r="D7" s="6">
        <v>2.1999999999999999E-2</v>
      </c>
      <c r="E7" s="6">
        <v>2.8000000000000001E-2</v>
      </c>
      <c r="F7" s="19">
        <f t="shared" si="0"/>
        <v>2.4999999999999998E-2</v>
      </c>
      <c r="G7" s="6">
        <f t="shared" si="1"/>
        <v>3.0000000000000009E-3</v>
      </c>
      <c r="H7" s="14">
        <f t="shared" si="2"/>
        <v>12.000000000000005</v>
      </c>
      <c r="I7" s="6">
        <f t="shared" si="3"/>
        <v>2.6595744680851064E-2</v>
      </c>
      <c r="J7" s="6">
        <f t="shared" si="4"/>
        <v>37.6</v>
      </c>
      <c r="K7" s="6">
        <f t="shared" si="5"/>
        <v>97.340425531914903</v>
      </c>
    </row>
    <row r="8" spans="1:22" ht="15" thickBot="1" x14ac:dyDescent="0.4">
      <c r="A8" s="8" t="s">
        <v>4</v>
      </c>
      <c r="B8" s="5">
        <v>20250224</v>
      </c>
      <c r="C8" s="6">
        <v>0.57199999999999995</v>
      </c>
      <c r="D8" s="6">
        <v>0.56899999999999995</v>
      </c>
      <c r="E8" s="6">
        <v>0.55900000000000005</v>
      </c>
      <c r="F8" s="19">
        <f t="shared" si="0"/>
        <v>0.56666666666666676</v>
      </c>
      <c r="G8" s="6">
        <f t="shared" si="1"/>
        <v>6.8068592855539895E-3</v>
      </c>
      <c r="H8" s="6">
        <f t="shared" si="2"/>
        <v>1.2012104621565862</v>
      </c>
      <c r="I8" s="6">
        <f t="shared" si="3"/>
        <v>0.60283687943262421</v>
      </c>
      <c r="J8" s="6">
        <f t="shared" si="4"/>
        <v>1.6588235294117644</v>
      </c>
      <c r="K8" s="6">
        <f t="shared" si="5"/>
        <v>39.716312056737578</v>
      </c>
    </row>
    <row r="9" spans="1:22" ht="15" thickBot="1" x14ac:dyDescent="0.4">
      <c r="A9" s="6" t="s">
        <v>4</v>
      </c>
      <c r="B9" s="6">
        <v>20250307</v>
      </c>
      <c r="C9" s="6">
        <v>1.7999999999999999E-2</v>
      </c>
      <c r="D9" s="6">
        <v>1.9E-2</v>
      </c>
      <c r="E9" s="6">
        <v>0.02</v>
      </c>
      <c r="F9" s="19">
        <f t="shared" si="0"/>
        <v>1.9E-2</v>
      </c>
      <c r="G9" s="6">
        <f t="shared" si="1"/>
        <v>1.0000000000000009E-3</v>
      </c>
      <c r="H9" s="6">
        <f t="shared" si="2"/>
        <v>5.2631578947368469</v>
      </c>
      <c r="I9" s="6">
        <f t="shared" si="3"/>
        <v>2.021276595744681E-2</v>
      </c>
      <c r="J9" s="6">
        <f t="shared" si="4"/>
        <v>49.473684210526315</v>
      </c>
      <c r="K9" s="6">
        <f t="shared" si="5"/>
        <v>97.978723404255319</v>
      </c>
    </row>
    <row r="10" spans="1:22" ht="15" thickBot="1" x14ac:dyDescent="0.4">
      <c r="A10" s="8" t="s">
        <v>4</v>
      </c>
      <c r="B10" s="8">
        <v>20250407</v>
      </c>
      <c r="C10" s="8">
        <v>2.7E-2</v>
      </c>
      <c r="D10" s="8">
        <v>3.9E-2</v>
      </c>
      <c r="E10" s="8">
        <v>9.6000000000000002E-2</v>
      </c>
      <c r="F10" s="19">
        <f t="shared" ref="F10:F13" si="6">AVERAGE(C10:E10)</f>
        <v>5.3999999999999999E-2</v>
      </c>
      <c r="G10" s="6">
        <f t="shared" ref="G10:G13" si="7">_xlfn.STDEV.S(C10:E10)</f>
        <v>3.6864617182333526E-2</v>
      </c>
      <c r="H10" s="6">
        <f t="shared" ref="H10:H13" si="8">(G10/F10)*100</f>
        <v>68.267809596913935</v>
      </c>
      <c r="I10" s="6">
        <f t="shared" ref="I10:I13" si="9">F10/$M$2</f>
        <v>5.7446808510638298E-2</v>
      </c>
      <c r="J10" s="6">
        <f t="shared" ref="J10:J13" si="10">1/I10</f>
        <v>17.407407407407408</v>
      </c>
      <c r="K10" s="6">
        <f t="shared" ref="K10:K13" si="11">(1-F10/$M$2)*100</f>
        <v>94.255319148936167</v>
      </c>
      <c r="M10" s="11"/>
    </row>
    <row r="11" spans="1:22" ht="15" thickBot="1" x14ac:dyDescent="0.4">
      <c r="A11" s="8" t="s">
        <v>4</v>
      </c>
      <c r="B11" s="8">
        <v>20250324</v>
      </c>
      <c r="C11" s="8">
        <v>2.8000000000000001E-2</v>
      </c>
      <c r="D11" s="8">
        <v>3.1E-2</v>
      </c>
      <c r="E11" s="8">
        <v>2.8000000000000001E-2</v>
      </c>
      <c r="F11" s="19">
        <f t="shared" si="6"/>
        <v>2.8999999999999998E-2</v>
      </c>
      <c r="G11" s="6">
        <f t="shared" si="7"/>
        <v>1.7320508075688767E-3</v>
      </c>
      <c r="H11" s="6">
        <f t="shared" si="8"/>
        <v>5.9725889916168162</v>
      </c>
      <c r="I11" s="6">
        <f t="shared" si="9"/>
        <v>3.0851063829787233E-2</v>
      </c>
      <c r="J11" s="6">
        <f t="shared" si="10"/>
        <v>32.413793103448278</v>
      </c>
      <c r="K11" s="6">
        <f t="shared" si="11"/>
        <v>96.914893617021278</v>
      </c>
    </row>
    <row r="12" spans="1:22" ht="15" thickBot="1" x14ac:dyDescent="0.4">
      <c r="A12" s="8" t="s">
        <v>4</v>
      </c>
      <c r="B12" s="8">
        <v>20250320</v>
      </c>
      <c r="C12" s="8">
        <v>1.7999999999999999E-2</v>
      </c>
      <c r="D12" s="8">
        <v>2.4E-2</v>
      </c>
      <c r="E12" s="8">
        <v>2.5000000000000001E-2</v>
      </c>
      <c r="F12" s="19">
        <f t="shared" si="6"/>
        <v>2.2333333333333334E-2</v>
      </c>
      <c r="G12" s="6">
        <f t="shared" si="7"/>
        <v>3.7859388972001839E-3</v>
      </c>
      <c r="H12" s="6">
        <f t="shared" si="8"/>
        <v>16.95196521134411</v>
      </c>
      <c r="I12" s="6">
        <f t="shared" si="9"/>
        <v>2.3758865248226953E-2</v>
      </c>
      <c r="J12" s="6">
        <f>1/I12</f>
        <v>42.089552238805965</v>
      </c>
      <c r="K12" s="6">
        <f t="shared" si="11"/>
        <v>97.62411347517731</v>
      </c>
    </row>
    <row r="13" spans="1:22" ht="15" thickBot="1" x14ac:dyDescent="0.4">
      <c r="A13" s="8" t="s">
        <v>4</v>
      </c>
      <c r="B13" s="8" t="s">
        <v>31</v>
      </c>
      <c r="C13" s="8">
        <v>2.9000000000000001E-2</v>
      </c>
      <c r="D13" s="8">
        <v>4.1000000000000002E-2</v>
      </c>
      <c r="E13" s="8">
        <v>6.0999999999999999E-2</v>
      </c>
      <c r="F13" s="19">
        <f t="shared" si="6"/>
        <v>4.3666666666666666E-2</v>
      </c>
      <c r="G13" s="6">
        <f t="shared" si="7"/>
        <v>1.6165807537309514E-2</v>
      </c>
      <c r="H13" s="6">
        <f t="shared" si="8"/>
        <v>37.020933291548502</v>
      </c>
      <c r="I13" s="6">
        <f t="shared" si="9"/>
        <v>4.6453900709219863E-2</v>
      </c>
      <c r="J13" s="6">
        <f t="shared" si="10"/>
        <v>21.526717557251906</v>
      </c>
      <c r="K13" s="6">
        <f t="shared" si="11"/>
        <v>95.354609929078009</v>
      </c>
    </row>
    <row r="14" spans="1:22" ht="15" thickBot="1" x14ac:dyDescent="0.4">
      <c r="A14" s="20" t="s">
        <v>4</v>
      </c>
      <c r="B14" s="20">
        <v>20250424</v>
      </c>
      <c r="C14" s="20">
        <v>1.9E-2</v>
      </c>
      <c r="D14" s="20">
        <v>2.1000000000000001E-2</v>
      </c>
      <c r="E14" s="20">
        <v>0.02</v>
      </c>
      <c r="F14" s="19">
        <f t="shared" ref="F14" si="12">AVERAGE(C14:E14)</f>
        <v>0.02</v>
      </c>
      <c r="G14" s="6">
        <f t="shared" ref="G14" si="13">_xlfn.STDEV.S(C14:E14)</f>
        <v>1.0000000000000009E-3</v>
      </c>
      <c r="H14" s="6">
        <f t="shared" ref="H14" si="14">(G14/F14)*100</f>
        <v>5.0000000000000044</v>
      </c>
      <c r="I14" s="6">
        <f t="shared" ref="I14" si="15">F14/$M$2</f>
        <v>2.1276595744680854E-2</v>
      </c>
      <c r="J14" s="6">
        <f t="shared" ref="J14" si="16">1/I14</f>
        <v>46.999999999999993</v>
      </c>
      <c r="K14" s="6">
        <f t="shared" ref="K14" si="17">(1-F14/$M$2)*100</f>
        <v>97.872340425531917</v>
      </c>
    </row>
    <row r="30" spans="8:8" x14ac:dyDescent="0.35">
      <c r="H30">
        <f>0.026/M2</f>
        <v>2.7659574468085108E-2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0C00-B58F-4F19-89A3-BA9B9C27D612}">
  <dimension ref="A1:P15"/>
  <sheetViews>
    <sheetView tabSelected="1" workbookViewId="0">
      <selection activeCell="F12" sqref="F12"/>
    </sheetView>
  </sheetViews>
  <sheetFormatPr baseColWidth="10" defaultRowHeight="14.5" x14ac:dyDescent="0.35"/>
  <cols>
    <col min="6" max="6" width="25.26953125" customWidth="1"/>
  </cols>
  <sheetData>
    <row r="1" spans="1:16" ht="17" thickBot="1" x14ac:dyDescent="0.4">
      <c r="A1" s="1" t="s">
        <v>24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25</v>
      </c>
      <c r="G1" s="1" t="s">
        <v>26</v>
      </c>
      <c r="H1" s="1" t="s">
        <v>27</v>
      </c>
      <c r="I1" s="1" t="s">
        <v>19</v>
      </c>
      <c r="J1" s="12" t="s">
        <v>20</v>
      </c>
      <c r="K1" s="1" t="s">
        <v>28</v>
      </c>
      <c r="M1" s="1" t="s">
        <v>18</v>
      </c>
      <c r="N1" s="1" t="s">
        <v>8</v>
      </c>
      <c r="O1" s="1" t="s">
        <v>9</v>
      </c>
      <c r="P1" s="1" t="s">
        <v>10</v>
      </c>
    </row>
    <row r="2" spans="1:16" ht="15" thickBot="1" x14ac:dyDescent="0.4">
      <c r="A2" s="5" t="s">
        <v>5</v>
      </c>
      <c r="B2" s="6">
        <v>20250205</v>
      </c>
      <c r="C2" s="5">
        <v>0.107</v>
      </c>
      <c r="D2" s="5">
        <v>9.7000000000000003E-2</v>
      </c>
      <c r="E2" s="5">
        <v>4.3999999999999997E-2</v>
      </c>
      <c r="F2" s="6">
        <f>AVERAGE(C2:E2)</f>
        <v>8.2666666666666666E-2</v>
      </c>
      <c r="G2" s="6">
        <f>_xlfn.STDEV.S(C2:E2)</f>
        <v>3.3857544703261258E-2</v>
      </c>
      <c r="H2" s="6">
        <f>(G2/F2)*100</f>
        <v>40.95670730233217</v>
      </c>
      <c r="I2" s="6">
        <f>F2/$N$2</f>
        <v>9.7599370326643051E-2</v>
      </c>
      <c r="J2" s="6">
        <f>1/I2</f>
        <v>10.245967741935484</v>
      </c>
      <c r="K2" s="6">
        <f>(1-F2/$N$2)*100</f>
        <v>90.240062967335703</v>
      </c>
      <c r="L2" s="7"/>
      <c r="M2">
        <f>AVERAGE(N2:P2)</f>
        <v>0.87466666666666659</v>
      </c>
      <c r="N2">
        <v>0.84699999999999998</v>
      </c>
      <c r="O2">
        <v>0.88400000000000001</v>
      </c>
      <c r="P2">
        <v>0.89300000000000002</v>
      </c>
    </row>
    <row r="3" spans="1:16" ht="15" thickBot="1" x14ac:dyDescent="0.4">
      <c r="A3" s="5" t="s">
        <v>5</v>
      </c>
      <c r="B3" s="9" t="s">
        <v>6</v>
      </c>
      <c r="C3" s="5">
        <v>3.1E-2</v>
      </c>
      <c r="D3" s="5">
        <v>6.0999999999999999E-2</v>
      </c>
      <c r="E3" s="5">
        <v>3.7999999999999999E-2</v>
      </c>
      <c r="F3" s="6">
        <f t="shared" ref="F3:F6" si="0">AVERAGE(C3:E3)</f>
        <v>4.3333333333333335E-2</v>
      </c>
      <c r="G3" s="6">
        <f t="shared" ref="G3" si="1">_xlfn.STDEV.S(C3:E3)</f>
        <v>1.5695009822658052E-2</v>
      </c>
      <c r="H3" s="6">
        <f t="shared" ref="H3" si="2">(G3/F3)*100</f>
        <v>36.219253436903202</v>
      </c>
      <c r="I3" s="6">
        <f t="shared" ref="I3" si="3">F3/$N$2</f>
        <v>5.1160960251869343E-2</v>
      </c>
      <c r="J3" s="6">
        <f t="shared" ref="J3" si="4">1/I3</f>
        <v>19.546153846153846</v>
      </c>
      <c r="K3" s="6">
        <f t="shared" ref="K3" si="5">(1-F3/$N$2)*100</f>
        <v>94.883903974813066</v>
      </c>
      <c r="L3" s="7"/>
    </row>
    <row r="4" spans="1:16" ht="15" thickBot="1" x14ac:dyDescent="0.4">
      <c r="A4" s="5" t="s">
        <v>5</v>
      </c>
      <c r="B4" s="6">
        <v>20250217</v>
      </c>
      <c r="C4" s="5">
        <v>0.02</v>
      </c>
      <c r="D4" s="5">
        <v>3.7999999999999999E-2</v>
      </c>
      <c r="E4" s="5">
        <v>6.4000000000000001E-2</v>
      </c>
      <c r="F4" s="6">
        <f t="shared" ref="F4" si="6">AVERAGE(C4:E4)</f>
        <v>4.0666666666666663E-2</v>
      </c>
      <c r="G4" s="6">
        <f t="shared" ref="G4" si="7">_xlfn.STDEV.S(C4:E4)</f>
        <v>2.2120880030716078E-2</v>
      </c>
      <c r="H4" s="6">
        <f t="shared" ref="H4" si="8">(G4/F4)*100</f>
        <v>54.39560663290839</v>
      </c>
      <c r="I4" s="6">
        <f t="shared" ref="I4" si="9">F4/$N$2</f>
        <v>4.8012593467138917E-2</v>
      </c>
      <c r="J4" s="6">
        <f t="shared" ref="J4" si="10">1/I4</f>
        <v>20.827868852459019</v>
      </c>
      <c r="K4" s="6">
        <f t="shared" ref="K4" si="11">(1-F4/$N$2)*100</f>
        <v>95.198740653286109</v>
      </c>
      <c r="L4" s="7"/>
    </row>
    <row r="5" spans="1:16" ht="15" thickBot="1" x14ac:dyDescent="0.4">
      <c r="A5" s="5" t="s">
        <v>5</v>
      </c>
      <c r="B5" s="6" t="s">
        <v>7</v>
      </c>
      <c r="C5" s="6">
        <v>0.16</v>
      </c>
      <c r="D5" s="6">
        <v>0.153</v>
      </c>
      <c r="E5" s="6">
        <v>0.16700000000000001</v>
      </c>
      <c r="F5" s="6">
        <f t="shared" si="0"/>
        <v>0.16</v>
      </c>
      <c r="G5" s="6">
        <f t="shared" ref="G5:G6" si="12">_xlfn.STDEV.S(C5:E5)</f>
        <v>7.0000000000000062E-3</v>
      </c>
      <c r="H5" s="6">
        <f t="shared" ref="H5:H6" si="13">(G5/F5)*100</f>
        <v>4.3750000000000036</v>
      </c>
      <c r="I5" s="6">
        <f t="shared" ref="I5:I7" si="14">F5/$N$2</f>
        <v>0.18890200708382526</v>
      </c>
      <c r="J5" s="6">
        <f t="shared" ref="J5:J7" si="15">1/I5</f>
        <v>5.2937500000000002</v>
      </c>
      <c r="K5" s="6">
        <f t="shared" ref="K5:K7" si="16">(1-F5/$N$2)*100</f>
        <v>81.109799291617477</v>
      </c>
      <c r="L5" s="7"/>
    </row>
    <row r="6" spans="1:16" ht="15" thickBot="1" x14ac:dyDescent="0.4">
      <c r="A6" s="5" t="s">
        <v>5</v>
      </c>
      <c r="B6" s="5" t="s">
        <v>29</v>
      </c>
      <c r="C6" s="6">
        <v>0.13500000000000001</v>
      </c>
      <c r="D6" s="6">
        <v>0.16300000000000001</v>
      </c>
      <c r="E6" s="6">
        <v>0.129</v>
      </c>
      <c r="F6" s="6">
        <f t="shared" si="0"/>
        <v>0.14233333333333334</v>
      </c>
      <c r="G6" s="6">
        <f t="shared" si="12"/>
        <v>1.8147543451754768E-2</v>
      </c>
      <c r="H6" s="6">
        <f t="shared" si="13"/>
        <v>12.75003052816494</v>
      </c>
      <c r="I6" s="6">
        <f t="shared" si="14"/>
        <v>0.16804407713498623</v>
      </c>
      <c r="J6" s="6">
        <f t="shared" si="15"/>
        <v>5.9508196721311473</v>
      </c>
      <c r="K6" s="6">
        <f t="shared" si="16"/>
        <v>83.19559228650138</v>
      </c>
      <c r="L6" s="7"/>
    </row>
    <row r="7" spans="1:16" ht="15" thickBot="1" x14ac:dyDescent="0.4">
      <c r="A7" s="5" t="s">
        <v>5</v>
      </c>
      <c r="B7" s="5" t="s">
        <v>33</v>
      </c>
      <c r="C7" s="5">
        <v>8.5999999999999993E-2</v>
      </c>
      <c r="D7" s="5">
        <v>0.11700000000000001</v>
      </c>
      <c r="E7" s="18">
        <v>0.25</v>
      </c>
      <c r="F7" s="6">
        <f>AVERAGE(C7:D7)</f>
        <v>0.10150000000000001</v>
      </c>
      <c r="G7" s="6">
        <f>_xlfn.STDEV.S(C7:D7)</f>
        <v>2.1920310216782934E-2</v>
      </c>
      <c r="H7" s="6">
        <f>(G7/F7)*100</f>
        <v>21.596364745598947</v>
      </c>
      <c r="I7" s="6">
        <f t="shared" si="14"/>
        <v>0.11983471074380167</v>
      </c>
      <c r="J7" s="6">
        <f t="shared" si="15"/>
        <v>8.344827586206895</v>
      </c>
      <c r="K7" s="6">
        <f t="shared" si="16"/>
        <v>88.016528925619824</v>
      </c>
    </row>
    <row r="15" spans="1:16" x14ac:dyDescent="0.35">
      <c r="E1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6126-7CA4-46ED-9A61-9E3B892B0051}">
  <dimension ref="A1:P11"/>
  <sheetViews>
    <sheetView workbookViewId="0">
      <selection activeCell="C11" sqref="C11"/>
    </sheetView>
  </sheetViews>
  <sheetFormatPr baseColWidth="10" defaultRowHeight="14.5" x14ac:dyDescent="0.35"/>
  <sheetData>
    <row r="1" spans="1:16" ht="17" thickBot="1" x14ac:dyDescent="0.4">
      <c r="A1" s="1" t="s">
        <v>24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25</v>
      </c>
      <c r="G1" s="1" t="s">
        <v>26</v>
      </c>
      <c r="H1" s="1" t="s">
        <v>27</v>
      </c>
      <c r="I1" s="1" t="s">
        <v>19</v>
      </c>
      <c r="J1" s="12" t="s">
        <v>20</v>
      </c>
      <c r="K1" s="1" t="s">
        <v>28</v>
      </c>
      <c r="M1" s="1" t="s">
        <v>18</v>
      </c>
      <c r="N1" s="1" t="s">
        <v>8</v>
      </c>
      <c r="O1" s="1" t="s">
        <v>9</v>
      </c>
      <c r="P1" s="1" t="s">
        <v>10</v>
      </c>
    </row>
    <row r="2" spans="1:16" ht="15" thickBot="1" x14ac:dyDescent="0.4">
      <c r="A2" s="5" t="s">
        <v>12</v>
      </c>
      <c r="B2" s="6" t="s">
        <v>11</v>
      </c>
      <c r="C2" s="6">
        <v>0.105</v>
      </c>
      <c r="D2" s="6">
        <v>0.14099999999999999</v>
      </c>
      <c r="E2" s="6">
        <v>0.16600000000000001</v>
      </c>
      <c r="F2" s="6">
        <f>AVERAGE(C2:E2)</f>
        <v>0.13733333333333334</v>
      </c>
      <c r="G2" s="6">
        <f>_xlfn.STDEV.S(C2:E2)</f>
        <v>3.066485501895171E-2</v>
      </c>
      <c r="H2" s="6">
        <f>(G2/F2)*100</f>
        <v>22.328777926421147</v>
      </c>
      <c r="I2" s="6">
        <f>F2/$N$2</f>
        <v>0.13179782469609724</v>
      </c>
      <c r="J2" s="6">
        <f>1/I2</f>
        <v>7.5873786407766994</v>
      </c>
      <c r="K2" s="6">
        <f>(1-F2/$N$2)*100</f>
        <v>86.820217530390281</v>
      </c>
      <c r="L2" s="7"/>
      <c r="M2">
        <f>AVERAGE(N2:P2)</f>
        <v>1.0323333333333335</v>
      </c>
      <c r="N2">
        <v>1.042</v>
      </c>
      <c r="O2">
        <v>1.0249999999999999</v>
      </c>
      <c r="P2">
        <v>1.03</v>
      </c>
    </row>
    <row r="3" spans="1:16" ht="15" thickBot="1" x14ac:dyDescent="0.4">
      <c r="A3" s="5" t="s">
        <v>12</v>
      </c>
      <c r="B3" s="6">
        <v>20250214</v>
      </c>
      <c r="C3" s="6">
        <v>8.8999999999999996E-2</v>
      </c>
      <c r="D3" s="6">
        <v>7.6999999999999999E-2</v>
      </c>
      <c r="E3" s="6">
        <v>9.7000000000000003E-2</v>
      </c>
      <c r="F3" s="6">
        <f t="shared" ref="F3:F8" si="0">AVERAGE(C3:E3)</f>
        <v>8.7666666666666671E-2</v>
      </c>
      <c r="G3" s="6">
        <f t="shared" ref="G3:G8" si="1">_xlfn.STDEV.S(C3:E3)</f>
        <v>1.0066445913694334E-2</v>
      </c>
      <c r="H3" s="6">
        <f t="shared" ref="H3:H8" si="2">(G3/F3)*100</f>
        <v>11.482637924366159</v>
      </c>
      <c r="I3" s="6">
        <f t="shared" ref="I3:I8" si="3">F3/$N$2</f>
        <v>8.4133077415227131E-2</v>
      </c>
      <c r="J3" s="6">
        <f t="shared" ref="J3:J8" si="4">1/I3</f>
        <v>11.885931558935361</v>
      </c>
      <c r="K3" s="6">
        <f t="shared" ref="K3:K8" si="5">(1-F3/$N$2)*100</f>
        <v>91.586692258477285</v>
      </c>
      <c r="L3" s="7"/>
    </row>
    <row r="4" spans="1:16" ht="15" thickBot="1" x14ac:dyDescent="0.4">
      <c r="A4" s="6" t="s">
        <v>12</v>
      </c>
      <c r="B4" s="6">
        <v>20250220</v>
      </c>
      <c r="C4" s="6">
        <v>8.6999999999999994E-2</v>
      </c>
      <c r="D4" s="6">
        <v>8.1000000000000003E-2</v>
      </c>
      <c r="E4" s="6">
        <v>7.4999999999999997E-2</v>
      </c>
      <c r="F4" s="6">
        <f t="shared" ref="F4" si="6">AVERAGE(C4:E4)</f>
        <v>8.1000000000000003E-2</v>
      </c>
      <c r="G4" s="6">
        <f t="shared" ref="G4" si="7">_xlfn.STDEV.S(C4:E4)</f>
        <v>5.9999999999999984E-3</v>
      </c>
      <c r="H4" s="6">
        <f t="shared" ref="H4" si="8">(G4/F4)*100</f>
        <v>7.4074074074074057</v>
      </c>
      <c r="I4" s="6">
        <f t="shared" ref="I4" si="9">F4/$N$2</f>
        <v>7.7735124760076782E-2</v>
      </c>
      <c r="J4" s="6">
        <f t="shared" ref="J4" si="10">1/I4</f>
        <v>12.864197530864196</v>
      </c>
      <c r="K4" s="6">
        <f t="shared" ref="K4" si="11">(1-F4/$N$2)*100</f>
        <v>92.226487523992319</v>
      </c>
      <c r="L4" s="7"/>
    </row>
    <row r="5" spans="1:16" ht="15" thickBot="1" x14ac:dyDescent="0.4">
      <c r="A5" s="6" t="s">
        <v>12</v>
      </c>
      <c r="B5" s="6" t="s">
        <v>13</v>
      </c>
      <c r="C5" s="6">
        <v>9.0999999999999998E-2</v>
      </c>
      <c r="D5" s="6">
        <v>0.104</v>
      </c>
      <c r="E5" s="6">
        <v>0.1</v>
      </c>
      <c r="F5" s="6">
        <f t="shared" si="0"/>
        <v>9.8333333333333342E-2</v>
      </c>
      <c r="G5" s="6">
        <f t="shared" si="1"/>
        <v>6.6583281184793928E-3</v>
      </c>
      <c r="H5" s="6">
        <f t="shared" si="2"/>
        <v>6.7711811374366704</v>
      </c>
      <c r="I5" s="6">
        <f t="shared" si="3"/>
        <v>9.4369801663467701E-2</v>
      </c>
      <c r="J5" s="6">
        <f t="shared" si="4"/>
        <v>10.596610169491525</v>
      </c>
      <c r="K5" s="6">
        <f t="shared" si="5"/>
        <v>90.563019833653229</v>
      </c>
      <c r="L5" s="7"/>
    </row>
    <row r="6" spans="1:16" ht="15" thickBot="1" x14ac:dyDescent="0.4">
      <c r="A6" s="6" t="s">
        <v>12</v>
      </c>
      <c r="B6" s="6">
        <v>20250227</v>
      </c>
      <c r="C6" s="6">
        <v>0.106</v>
      </c>
      <c r="D6" s="6">
        <v>0.115</v>
      </c>
      <c r="E6" s="6">
        <v>0.11</v>
      </c>
      <c r="F6" s="6">
        <f t="shared" si="0"/>
        <v>0.11033333333333334</v>
      </c>
      <c r="G6" s="6">
        <f t="shared" si="1"/>
        <v>4.5092497528228985E-3</v>
      </c>
      <c r="H6" s="6">
        <f t="shared" si="2"/>
        <v>4.0869333107156178</v>
      </c>
      <c r="I6" s="6">
        <f t="shared" si="3"/>
        <v>0.10588611644273832</v>
      </c>
      <c r="J6" s="6">
        <f t="shared" si="4"/>
        <v>9.4441087613293053</v>
      </c>
      <c r="K6" s="6">
        <f t="shared" si="5"/>
        <v>89.411388355726174</v>
      </c>
      <c r="L6" s="7"/>
    </row>
    <row r="7" spans="1:16" ht="15" thickBot="1" x14ac:dyDescent="0.4">
      <c r="A7" s="6" t="s">
        <v>12</v>
      </c>
      <c r="B7" s="6" t="s">
        <v>14</v>
      </c>
      <c r="C7" s="6">
        <v>0.186</v>
      </c>
      <c r="D7" s="6">
        <v>0.182</v>
      </c>
      <c r="E7" s="6">
        <v>0.19700000000000001</v>
      </c>
      <c r="F7" s="6">
        <f t="shared" si="0"/>
        <v>0.18833333333333332</v>
      </c>
      <c r="G7" s="6">
        <f t="shared" si="1"/>
        <v>7.7674534651540365E-3</v>
      </c>
      <c r="H7" s="6">
        <f t="shared" si="2"/>
        <v>4.1243115744180727</v>
      </c>
      <c r="I7" s="6">
        <f>F7/$N$2</f>
        <v>0.18074216250799743</v>
      </c>
      <c r="J7" s="6">
        <f t="shared" si="4"/>
        <v>5.5327433628318587</v>
      </c>
      <c r="K7" s="6">
        <f t="shared" si="5"/>
        <v>81.925783749200249</v>
      </c>
      <c r="L7" s="7"/>
    </row>
    <row r="8" spans="1:16" ht="15" thickBot="1" x14ac:dyDescent="0.4">
      <c r="A8" s="6" t="s">
        <v>12</v>
      </c>
      <c r="B8" s="6">
        <v>20250310</v>
      </c>
      <c r="C8" s="6">
        <v>0.06</v>
      </c>
      <c r="D8" s="6">
        <v>6.4000000000000001E-2</v>
      </c>
      <c r="E8" s="6">
        <v>0.06</v>
      </c>
      <c r="F8" s="6">
        <f t="shared" si="0"/>
        <v>6.133333333333333E-2</v>
      </c>
      <c r="G8" s="6">
        <f t="shared" si="1"/>
        <v>2.3094010767585049E-3</v>
      </c>
      <c r="H8" s="6">
        <f t="shared" si="2"/>
        <v>3.7653278425410406</v>
      </c>
      <c r="I8" s="6">
        <f t="shared" si="3"/>
        <v>5.8861164427383234E-2</v>
      </c>
      <c r="J8" s="6">
        <f t="shared" si="4"/>
        <v>16.989130434782609</v>
      </c>
      <c r="K8" s="6">
        <f t="shared" si="5"/>
        <v>94.113883557261673</v>
      </c>
      <c r="L8" s="7"/>
    </row>
    <row r="9" spans="1:16" ht="15" thickBot="1" x14ac:dyDescent="0.4">
      <c r="A9" s="6" t="s">
        <v>12</v>
      </c>
      <c r="B9" s="6">
        <v>20250325</v>
      </c>
      <c r="C9" s="6">
        <v>0.23899999999999999</v>
      </c>
      <c r="D9" s="6">
        <v>0.318</v>
      </c>
      <c r="E9" s="6">
        <v>0.27400000000000002</v>
      </c>
      <c r="F9" s="6">
        <f>AVERAGE(C9:E9)</f>
        <v>0.27699999999999997</v>
      </c>
      <c r="G9" s="6">
        <f t="shared" ref="G9" si="12">_xlfn.STDEV.S(C9:E9)</f>
        <v>3.9585350825778957E-2</v>
      </c>
      <c r="H9" s="6">
        <f t="shared" ref="H9" si="13">(G9/F9)*100</f>
        <v>14.290740370317314</v>
      </c>
      <c r="I9" s="6">
        <f t="shared" ref="I9" si="14">F9/$N$2</f>
        <v>0.26583493282149706</v>
      </c>
      <c r="J9" s="6">
        <f t="shared" ref="J9" si="15">1/I9</f>
        <v>3.7617328519855606</v>
      </c>
      <c r="K9" s="6">
        <f t="shared" ref="K9" si="16">(1-F9/$N$2)*100</f>
        <v>73.416506717850297</v>
      </c>
    </row>
    <row r="10" spans="1:16" ht="15" thickBot="1" x14ac:dyDescent="0.4">
      <c r="A10" s="6" t="s">
        <v>12</v>
      </c>
      <c r="B10">
        <v>20250409</v>
      </c>
      <c r="C10" s="17">
        <v>0.111</v>
      </c>
      <c r="D10" s="17">
        <v>0.127</v>
      </c>
      <c r="E10" s="17">
        <v>0.158</v>
      </c>
      <c r="F10" s="6">
        <f t="shared" ref="F10:F11" si="17">AVERAGE(C10:E10)</f>
        <v>0.13200000000000001</v>
      </c>
      <c r="G10" s="6">
        <f t="shared" ref="G10:G11" si="18">_xlfn.STDEV.S(C10:E10)</f>
        <v>2.3895606290697011E-2</v>
      </c>
      <c r="H10" s="6">
        <f t="shared" ref="H10:H11" si="19">(G10/F10)*100</f>
        <v>18.102732038406828</v>
      </c>
      <c r="I10" s="6">
        <f t="shared" ref="I10:I11" si="20">F10/$N$2</f>
        <v>0.12667946257197696</v>
      </c>
      <c r="J10" s="6">
        <f t="shared" ref="J10:J11" si="21">1/I10</f>
        <v>7.8939393939393945</v>
      </c>
      <c r="K10" s="6">
        <f t="shared" ref="K10:K11" si="22">(1-F10/$N$2)*100</f>
        <v>87.332053742802302</v>
      </c>
    </row>
    <row r="11" spans="1:16" ht="15" thickBot="1" x14ac:dyDescent="0.4">
      <c r="A11" s="6" t="s">
        <v>12</v>
      </c>
      <c r="B11" t="s">
        <v>34</v>
      </c>
      <c r="C11">
        <v>6.7000000000000004E-2</v>
      </c>
      <c r="D11" s="7">
        <v>6.3E-2</v>
      </c>
      <c r="E11" s="21">
        <v>8.6999999999999994E-2</v>
      </c>
      <c r="F11" s="6">
        <f t="shared" si="17"/>
        <v>7.2333333333333333E-2</v>
      </c>
      <c r="G11" s="6">
        <f t="shared" si="18"/>
        <v>1.2858201014657272E-2</v>
      </c>
      <c r="H11" s="6">
        <f t="shared" si="19"/>
        <v>17.776314766807289</v>
      </c>
      <c r="I11" s="6">
        <f t="shared" si="20"/>
        <v>6.9417786308381316E-2</v>
      </c>
      <c r="J11" s="6">
        <f t="shared" si="21"/>
        <v>14.405529953917052</v>
      </c>
      <c r="K11" s="6">
        <f t="shared" si="22"/>
        <v>93.05822136916187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8C59-4AEE-43EE-8902-47DAFE11433D}">
  <dimension ref="A1:P3"/>
  <sheetViews>
    <sheetView workbookViewId="0">
      <selection activeCell="I1" sqref="I1"/>
    </sheetView>
  </sheetViews>
  <sheetFormatPr baseColWidth="10" defaultRowHeight="14.5" x14ac:dyDescent="0.35"/>
  <sheetData>
    <row r="1" spans="1:16" ht="17" thickBot="1" x14ac:dyDescent="0.4">
      <c r="A1" s="1" t="s">
        <v>24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25</v>
      </c>
      <c r="G1" s="1" t="s">
        <v>26</v>
      </c>
      <c r="H1" s="1" t="s">
        <v>27</v>
      </c>
      <c r="I1" s="1" t="s">
        <v>19</v>
      </c>
      <c r="J1" s="12" t="s">
        <v>20</v>
      </c>
      <c r="K1" s="1" t="s">
        <v>28</v>
      </c>
      <c r="M1" s="1" t="s">
        <v>18</v>
      </c>
      <c r="N1" s="1" t="s">
        <v>8</v>
      </c>
      <c r="O1" s="1" t="s">
        <v>9</v>
      </c>
      <c r="P1" s="1" t="s">
        <v>10</v>
      </c>
    </row>
    <row r="2" spans="1:16" ht="15" thickBot="1" x14ac:dyDescent="0.4">
      <c r="A2" s="10" t="s">
        <v>16</v>
      </c>
      <c r="B2" s="10" t="s">
        <v>15</v>
      </c>
      <c r="C2" s="6"/>
      <c r="D2" s="6"/>
      <c r="E2" s="6"/>
      <c r="F2" s="6" t="e">
        <f>AVERAGE(C2:E2)</f>
        <v>#DIV/0!</v>
      </c>
      <c r="G2" s="6" t="e">
        <f>_xlfn.STDEV.S(C2:E2)</f>
        <v>#DIV/0!</v>
      </c>
      <c r="H2" s="6" t="e">
        <f>(G2/F2)*100</f>
        <v>#DIV/0!</v>
      </c>
      <c r="I2" s="6" t="e">
        <f>F2/$N$2</f>
        <v>#DIV/0!</v>
      </c>
      <c r="J2" s="6" t="e">
        <f>1/I2</f>
        <v>#DIV/0!</v>
      </c>
      <c r="K2" s="6" t="e">
        <f>(1-F2/$N$2)*100</f>
        <v>#DIV/0!</v>
      </c>
      <c r="L2" s="7"/>
      <c r="M2">
        <f>AVERAGE(N2:P2)</f>
        <v>1.3893333333333333</v>
      </c>
      <c r="N2">
        <v>1.3959999999999999</v>
      </c>
      <c r="O2">
        <v>1.3859999999999999</v>
      </c>
      <c r="P2">
        <v>1.3859999999999999</v>
      </c>
    </row>
    <row r="3" spans="1:16" ht="15" thickBot="1" x14ac:dyDescent="0.4">
      <c r="A3" s="10" t="s">
        <v>16</v>
      </c>
      <c r="B3" s="10" t="s">
        <v>17</v>
      </c>
      <c r="C3" s="6"/>
      <c r="D3" s="6"/>
      <c r="E3" s="6"/>
      <c r="F3" s="6" t="e">
        <f t="shared" ref="F3" si="0">AVERAGE(C3:E3)</f>
        <v>#DIV/0!</v>
      </c>
      <c r="G3" s="6" t="e">
        <f t="shared" ref="G3" si="1">_xlfn.STDEV.S(C3:E3)</f>
        <v>#DIV/0!</v>
      </c>
      <c r="H3" s="6" t="e">
        <f t="shared" ref="H3" si="2">(G3/F3)*100</f>
        <v>#DIV/0!</v>
      </c>
      <c r="I3" s="6" t="e">
        <f t="shared" ref="I3" si="3">F3/$N$2</f>
        <v>#DIV/0!</v>
      </c>
      <c r="J3" s="6" t="e">
        <f t="shared" ref="J3" si="4">1/I3</f>
        <v>#DIV/0!</v>
      </c>
      <c r="K3" s="6" t="e">
        <f t="shared" ref="K3" si="5">(1-F3/$N$2)*100</f>
        <v>#DIV/0!</v>
      </c>
      <c r="L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81C0-7FBE-40E6-8D6A-531BDABFD661}">
  <dimension ref="A1:P2"/>
  <sheetViews>
    <sheetView workbookViewId="0">
      <selection activeCell="M2" sqref="M2"/>
    </sheetView>
  </sheetViews>
  <sheetFormatPr baseColWidth="10" defaultRowHeight="14.5" x14ac:dyDescent="0.35"/>
  <sheetData>
    <row r="1" spans="1:16" ht="17" thickBot="1" x14ac:dyDescent="0.4">
      <c r="A1" s="1" t="s">
        <v>24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25</v>
      </c>
      <c r="G1" s="1" t="s">
        <v>26</v>
      </c>
      <c r="H1" s="1" t="s">
        <v>27</v>
      </c>
      <c r="I1" s="1" t="s">
        <v>19</v>
      </c>
      <c r="J1" s="12" t="s">
        <v>20</v>
      </c>
      <c r="K1" s="1" t="s">
        <v>28</v>
      </c>
      <c r="M1" s="1" t="s">
        <v>18</v>
      </c>
      <c r="N1" s="1" t="s">
        <v>8</v>
      </c>
      <c r="O1" s="1" t="s">
        <v>9</v>
      </c>
      <c r="P1" s="1" t="s">
        <v>10</v>
      </c>
    </row>
    <row r="2" spans="1:16" ht="15" thickBot="1" x14ac:dyDescent="0.4">
      <c r="A2" s="6"/>
      <c r="B2" s="6"/>
      <c r="C2" s="6"/>
      <c r="D2" s="6"/>
      <c r="E2" s="6"/>
      <c r="F2" s="6" t="e">
        <f>AVERAGE(C2:E2)</f>
        <v>#DIV/0!</v>
      </c>
      <c r="G2" s="6" t="e">
        <f>_xlfn.STDEV.S(C2:E2)</f>
        <v>#DIV/0!</v>
      </c>
      <c r="H2" s="6" t="e">
        <f>(G2/F2)*100</f>
        <v>#DIV/0!</v>
      </c>
      <c r="I2" s="6" t="e">
        <f>F2/$N$2</f>
        <v>#DIV/0!</v>
      </c>
      <c r="J2" s="6" t="e">
        <f>1/I2</f>
        <v>#DIV/0!</v>
      </c>
      <c r="K2" s="6" t="e">
        <f>(1-F2/$N$2)*100</f>
        <v>#DIV/0!</v>
      </c>
      <c r="L2" s="7"/>
      <c r="M2">
        <f>AVERAGE(N2:P2)</f>
        <v>0.97000000000000008</v>
      </c>
      <c r="N2">
        <v>0.95399999999999996</v>
      </c>
      <c r="O2">
        <v>0.95299999999999996</v>
      </c>
      <c r="P2">
        <v>1.0029999999999999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5C0B77BE731F4F9D22562B58648137" ma:contentTypeVersion="16" ma:contentTypeDescription="Crear nuevo documento." ma:contentTypeScope="" ma:versionID="caa9b03ba8dcde0217fa1394f31926e0">
  <xsd:schema xmlns:xsd="http://www.w3.org/2001/XMLSchema" xmlns:xs="http://www.w3.org/2001/XMLSchema" xmlns:p="http://schemas.microsoft.com/office/2006/metadata/properties" xmlns:ns2="ce8610db-cd17-4708-aab9-77e3ccca3cf3" targetNamespace="http://schemas.microsoft.com/office/2006/metadata/properties" ma:root="true" ma:fieldsID="7ab3d6ee05cb63a637abf422f437cb6c" ns2:_="">
    <xsd:import namespace="ce8610db-cd17-4708-aab9-77e3ccca3c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8610db-cd17-4708-aab9-77e3ccca3c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0c61d788-ecdb-4aa4-a0ca-abe49909b6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8610db-cd17-4708-aab9-77e3ccca3c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65391D-4ABA-4B04-B9A6-70B086D00B2C}"/>
</file>

<file path=customXml/itemProps2.xml><?xml version="1.0" encoding="utf-8"?>
<ds:datastoreItem xmlns:ds="http://schemas.openxmlformats.org/officeDocument/2006/customXml" ds:itemID="{949F622B-D73C-4FBB-AAB2-555A6154105C}"/>
</file>

<file path=customXml/itemProps3.xml><?xml version="1.0" encoding="utf-8"?>
<ds:datastoreItem xmlns:ds="http://schemas.openxmlformats.org/officeDocument/2006/customXml" ds:itemID="{5E5C9EF6-C971-47B5-A6D2-4251F06512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LDPE</vt:lpstr>
      <vt:lpstr>HDPE</vt:lpstr>
      <vt:lpstr>PP</vt:lpstr>
      <vt:lpstr>PS</vt:lpstr>
      <vt:lpstr>PET</vt:lpstr>
      <vt:lpstr>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MARTIN GOMEZ</dc:creator>
  <cp:lastModifiedBy>BEATRIZ MARTIN GOMEZ</cp:lastModifiedBy>
  <dcterms:created xsi:type="dcterms:W3CDTF">2025-03-12T08:32:55Z</dcterms:created>
  <dcterms:modified xsi:type="dcterms:W3CDTF">2025-08-09T17:29:34Z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0x010100335C0B77BE731F4F9D22562B58648137</vt:lpwstr>
  </property>
</Properties>
</file>