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" sheetId="1" state="visible" r:id="rId1"/>
    <sheet name="PS-cork0" sheetId="2" state="visible" r:id="rId2"/>
    <sheet name="PS-c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11" customWidth="1" min="4" max="4"/>
    <col width="11" customWidth="1" min="5" max="5"/>
    <col width="17" customWidth="1" min="6" max="6"/>
    <col width="25" customWidth="1" min="7" max="7"/>
    <col width="22" customWidth="1" min="8" max="8"/>
    <col width="10" customWidth="1" min="9" max="9"/>
    <col width="7" customWidth="1" min="10" max="10"/>
    <col width="18" customWidth="1" min="11" max="11"/>
    <col width="2" customWidth="1" min="12" max="12"/>
    <col width="26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Polymer</t>
        </is>
      </c>
      <c r="B1" s="1" t="inlineStr">
        <is>
          <t>Label</t>
        </is>
      </c>
      <c r="C1" s="1" t="inlineStr">
        <is>
          <t>Measure 1</t>
        </is>
      </c>
      <c r="D1" s="1" t="inlineStr">
        <is>
          <t>Measure 2</t>
        </is>
      </c>
      <c r="E1" s="1" t="inlineStr">
        <is>
          <t>Measure 3</t>
        </is>
      </c>
      <c r="F1" s="1" t="inlineStr">
        <is>
          <t>ρ foam (g/cm^3)</t>
        </is>
      </c>
      <c r="G1" s="1" t="inlineStr">
        <is>
          <t>Desvest ρ foam (g/cm^3)</t>
        </is>
      </c>
      <c r="H1" s="1" t="inlineStr">
        <is>
          <t>%DER ρ foam (g/cm^3)</t>
        </is>
      </c>
      <c r="I1" s="1" t="inlineStr">
        <is>
          <t>ρr</t>
        </is>
      </c>
      <c r="J1" s="1" t="inlineStr">
        <is>
          <t>X</t>
        </is>
      </c>
      <c r="K1" s="1" t="inlineStr">
        <is>
          <t>Porosity (%)</t>
        </is>
      </c>
      <c r="L1" s="1" t="inlineStr"/>
      <c r="M1" s="1" t="inlineStr">
        <is>
          <t>ρ solid polymer (g/cm^3)</t>
        </is>
      </c>
      <c r="N1" s="1" t="inlineStr">
        <is>
          <t>Measure 1</t>
        </is>
      </c>
      <c r="O1" s="1" t="inlineStr">
        <is>
          <t>Measure 2</t>
        </is>
      </c>
      <c r="P1" s="1" t="inlineStr">
        <is>
          <t>Measure 3</t>
        </is>
      </c>
    </row>
    <row r="2">
      <c r="A2" t="inlineStr"/>
      <c r="B2" t="inlineStr"/>
      <c r="C2" t="inlineStr"/>
      <c r="D2" t="inlineStr"/>
      <c r="E2" t="inlineStr"/>
      <c r="F2">
        <f>AVERAGE(C2:E2)</f>
        <v/>
      </c>
      <c r="G2">
        <f>STDEV(C2:E2)</f>
        <v/>
      </c>
      <c r="H2">
        <f>G2/F2*100</f>
        <v/>
      </c>
      <c r="I2">
        <f>F2/$M$2</f>
        <v/>
      </c>
      <c r="J2">
        <f>1/I2</f>
        <v/>
      </c>
      <c r="K2">
        <f>(1-F2/$M$2)*100</f>
        <v/>
      </c>
      <c r="L2" t="inlineStr"/>
      <c r="M2">
        <f>AVERAGE(N2:P2)</f>
        <v/>
      </c>
      <c r="N2" t="inlineStr"/>
      <c r="O2" t="inlineStr"/>
      <c r="P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11" customWidth="1" min="4" max="4"/>
    <col width="11" customWidth="1" min="5" max="5"/>
    <col width="17" customWidth="1" min="6" max="6"/>
    <col width="25" customWidth="1" min="7" max="7"/>
    <col width="22" customWidth="1" min="8" max="8"/>
    <col width="10" customWidth="1" min="9" max="9"/>
    <col width="7" customWidth="1" min="10" max="10"/>
    <col width="18" customWidth="1" min="11" max="11"/>
    <col width="2" customWidth="1" min="12" max="12"/>
    <col width="26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Polymer</t>
        </is>
      </c>
      <c r="B1" s="1" t="inlineStr">
        <is>
          <t>Label</t>
        </is>
      </c>
      <c r="C1" s="1" t="inlineStr">
        <is>
          <t>Measure 1</t>
        </is>
      </c>
      <c r="D1" s="1" t="inlineStr">
        <is>
          <t>Measure 2</t>
        </is>
      </c>
      <c r="E1" s="1" t="inlineStr">
        <is>
          <t>Measure 3</t>
        </is>
      </c>
      <c r="F1" s="1" t="inlineStr">
        <is>
          <t>ρ foam (g/cm^3)</t>
        </is>
      </c>
      <c r="G1" s="1" t="inlineStr">
        <is>
          <t>Desvest ρ foam (g/cm^3)</t>
        </is>
      </c>
      <c r="H1" s="1" t="inlineStr">
        <is>
          <t>%DER ρ foam (g/cm^3)</t>
        </is>
      </c>
      <c r="I1" s="1" t="inlineStr">
        <is>
          <t>ρr</t>
        </is>
      </c>
      <c r="J1" s="1" t="inlineStr">
        <is>
          <t>X</t>
        </is>
      </c>
      <c r="K1" s="1" t="inlineStr">
        <is>
          <t>Porosity (%)</t>
        </is>
      </c>
      <c r="L1" s="1" t="inlineStr"/>
      <c r="M1" s="1" t="inlineStr">
        <is>
          <t>ρ solid polymer (g/cm^3)</t>
        </is>
      </c>
      <c r="N1" s="1" t="inlineStr">
        <is>
          <t>Measure 1</t>
        </is>
      </c>
      <c r="O1" s="1" t="inlineStr">
        <is>
          <t>Measure 2</t>
        </is>
      </c>
      <c r="P1" s="1" t="inlineStr">
        <is>
          <t>Measure 3</t>
        </is>
      </c>
    </row>
    <row r="2">
      <c r="A2" t="inlineStr"/>
      <c r="B2" t="inlineStr"/>
      <c r="C2" t="inlineStr"/>
      <c r="D2" t="inlineStr"/>
      <c r="E2" t="inlineStr"/>
      <c r="F2">
        <f>AVERAGE(C2:E2)</f>
        <v/>
      </c>
      <c r="G2">
        <f>STDEV(C2:E2)</f>
        <v/>
      </c>
      <c r="H2">
        <f>G2/F2*100</f>
        <v/>
      </c>
      <c r="I2">
        <f>F2/$M$2</f>
        <v/>
      </c>
      <c r="J2">
        <f>1/I2</f>
        <v/>
      </c>
      <c r="K2">
        <f>(1-F2/$M$2)*100</f>
        <v/>
      </c>
      <c r="L2" t="inlineStr"/>
      <c r="M2">
        <f>AVERAGE(N2:P2)</f>
        <v/>
      </c>
      <c r="N2" t="inlineStr"/>
      <c r="O2" t="inlineStr"/>
      <c r="P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11" customWidth="1" min="4" max="4"/>
    <col width="11" customWidth="1" min="5" max="5"/>
    <col width="17" customWidth="1" min="6" max="6"/>
    <col width="25" customWidth="1" min="7" max="7"/>
    <col width="22" customWidth="1" min="8" max="8"/>
    <col width="10" customWidth="1" min="9" max="9"/>
    <col width="7" customWidth="1" min="10" max="10"/>
    <col width="18" customWidth="1" min="11" max="11"/>
    <col width="2" customWidth="1" min="12" max="12"/>
    <col width="26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Polymer</t>
        </is>
      </c>
      <c r="B1" s="1" t="inlineStr">
        <is>
          <t>Label</t>
        </is>
      </c>
      <c r="C1" s="1" t="inlineStr">
        <is>
          <t>Measure 1</t>
        </is>
      </c>
      <c r="D1" s="1" t="inlineStr">
        <is>
          <t>Measure 2</t>
        </is>
      </c>
      <c r="E1" s="1" t="inlineStr">
        <is>
          <t>Measure 3</t>
        </is>
      </c>
      <c r="F1" s="1" t="inlineStr">
        <is>
          <t>ρ foam (g/cm^3)</t>
        </is>
      </c>
      <c r="G1" s="1" t="inlineStr">
        <is>
          <t>Desvest ρ foam (g/cm^3)</t>
        </is>
      </c>
      <c r="H1" s="1" t="inlineStr">
        <is>
          <t>%DER ρ foam (g/cm^3)</t>
        </is>
      </c>
      <c r="I1" s="1" t="inlineStr">
        <is>
          <t>ρr</t>
        </is>
      </c>
      <c r="J1" s="1" t="inlineStr">
        <is>
          <t>X</t>
        </is>
      </c>
      <c r="K1" s="1" t="inlineStr">
        <is>
          <t>Porosity (%)</t>
        </is>
      </c>
      <c r="L1" s="1" t="inlineStr"/>
      <c r="M1" s="1" t="inlineStr">
        <is>
          <t>ρ solid polymer (g/cm^3)</t>
        </is>
      </c>
      <c r="N1" s="1" t="inlineStr">
        <is>
          <t>Measure 1</t>
        </is>
      </c>
      <c r="O1" s="1" t="inlineStr">
        <is>
          <t>Measure 2</t>
        </is>
      </c>
      <c r="P1" s="1" t="inlineStr">
        <is>
          <t>Measure 3</t>
        </is>
      </c>
    </row>
    <row r="2">
      <c r="A2" t="inlineStr"/>
      <c r="B2" t="inlineStr"/>
      <c r="C2" t="inlineStr"/>
      <c r="D2" t="inlineStr"/>
      <c r="E2" t="inlineStr"/>
      <c r="F2">
        <f>AVERAGE(C2:E2)</f>
        <v/>
      </c>
      <c r="G2">
        <f>STDEV(C2:E2)</f>
        <v/>
      </c>
      <c r="H2">
        <f>G2/F2*100</f>
        <v/>
      </c>
      <c r="I2">
        <f>F2/$M$2</f>
        <v/>
      </c>
      <c r="J2">
        <f>1/I2</f>
        <v/>
      </c>
      <c r="K2">
        <f>(1-F2/$M$2)*100</f>
        <v/>
      </c>
      <c r="L2" t="inlineStr"/>
      <c r="M2">
        <f>AVERAGE(N2:P2)</f>
        <v/>
      </c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2025-09-15T12:33:33Z</dcterms:created>
  <dcterms:modified xsi:type="dcterms:W3CDTF">2025-09-15T12:33:33Z</dcterms:modified>
</cp:coreProperties>
</file>